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badb4f1b6569f9a/Desktop/Entri/Assignment 1/"/>
    </mc:Choice>
  </mc:AlternateContent>
  <xr:revisionPtr revIDLastSave="0" documentId="8_{CB4E970E-BB4F-4590-989A-BB7A9E03AA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definedNames>
    <definedName name="_xlnm._FilterDatabase" localSheetId="0" hidden="1">Dataset!$A$1:$J$36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38" i="1" l="1"/>
  <c r="D3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D40" i="1"/>
  <c r="G3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D39" i="1"/>
  <c r="A3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A36" authorId="0" shapeId="0" xr:uid="{DA9A47E7-8E1B-4A89-BC63-CD44D870600B}">
      <text>
        <r>
          <rPr>
            <b/>
            <sz val="9"/>
            <color indexed="81"/>
            <rFont val="Tahoma"/>
            <charset val="1"/>
          </rPr>
          <t>Total Count</t>
        </r>
      </text>
    </comment>
  </commentList>
</comments>
</file>

<file path=xl/sharedStrings.xml><?xml version="1.0" encoding="utf-8"?>
<sst xmlns="http://schemas.openxmlformats.org/spreadsheetml/2006/main" count="151" uniqueCount="102">
  <si>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</si>
  <si>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</si>
  <si>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</si>
  <si>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</si>
  <si>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</si>
  <si>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</si>
  <si>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</si>
  <si>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</si>
  <si>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</si>
  <si>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</si>
  <si>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</si>
  <si>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</si>
  <si>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</si>
  <si>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</si>
  <si>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</si>
  <si>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</si>
  <si>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</si>
  <si>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</si>
  <si>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</si>
  <si>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</si>
  <si>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</si>
  <si>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</si>
  <si>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</si>
  <si>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</si>
  <si>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</si>
  <si>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</si>
  <si>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</si>
  <si>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</si>
  <si>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</si>
  <si>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</si>
  <si>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</si>
  <si>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</si>
  <si>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</si>
  <si>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</si>
  <si>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</si>
  <si>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</si>
  <si>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</si>
  <si>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</si>
  <si>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</si>
  <si>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</si>
  <si>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</si>
  <si>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</si>
  <si>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</si>
  <si>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</si>
  <si>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</si>
  <si>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</si>
  <si>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</si>
  <si>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</si>
  <si>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</si>
  <si>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</si>
  <si>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</si>
  <si>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</si>
  <si>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</si>
  <si>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</si>
  <si>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</si>
  <si>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</si>
  <si>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</si>
  <si>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</si>
  <si>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</si>
  <si>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</si>
  <si>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</si>
  <si>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</si>
  <si>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</si>
  <si>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</si>
  <si>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</si>
  <si>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</si>
  <si>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</si>
  <si>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</si>
  <si>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</si>
  <si>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</si>
  <si>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</si>
  <si>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</si>
  <si>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</si>
  <si>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</si>
  <si>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</si>
  <si>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</si>
  <si>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</si>
  <si>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</si>
  <si>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</si>
  <si>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</si>
  <si>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</si>
  <si>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</si>
  <si>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</si>
  <si>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</si>
  <si>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</si>
  <si>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</si>
  <si>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</si>
  <si>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</si>
  <si>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</si>
  <si>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</si>
  <si>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</si>
  <si>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</si>
  <si>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</si>
  <si>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</si>
  <si>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Price Range</t>
  </si>
  <si>
    <t>Day</t>
  </si>
  <si>
    <t>Country Code</t>
  </si>
  <si>
    <t>Month</t>
  </si>
  <si>
    <t>Average Price</t>
  </si>
  <si>
    <t>Minimum Price</t>
  </si>
  <si>
    <t>Maximum Price</t>
  </si>
  <si>
    <t>No of Products less than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</si>
</sst>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43" fontId="0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G36" sqref="G36"/>
    </sheetView>
  </sheetViews>
  <sheetFormatPr defaultColWidth="12.6328125" defaultRowHeight="15" customHeight="1" x14ac:dyDescent="0.25"/>
  <cols>
    <col min="1" max="1" width="12.6328125" style="12"/>
    <col min="2" max="2" width="14.08984375" customWidth="1"/>
    <col min="9" max="11" width="12.6328125" style="6"/>
  </cols>
  <sheetData>
    <row r="1" spans="1:11" ht="15.75" customHeigh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 ht="15.75" customHeight="1" x14ac:dyDescent="0.25">
      <c r="A2" s="10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>
        <f>D2*E2</f>
        <v>30000</v>
      </c>
      <c r="H2" s="2" t="str">
        <f>IF(D2&gt;=500, "High Price", "Standard Price")</f>
        <v>High Price</v>
      </c>
      <c r="I2" s="7" t="str">
        <f>LEFT(A2,2)</f>
        <v>28</v>
      </c>
      <c r="J2" s="7" t="str">
        <f>RIGHT(A2,2)</f>
        <v>US</v>
      </c>
      <c r="K2" s="7" t="str">
        <f>MID(A2,4,3)</f>
        <v>JAN</v>
      </c>
    </row>
    <row r="3" spans="1:11" ht="15.75" customHeight="1" x14ac:dyDescent="0.25">
      <c r="A3" s="11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>
        <f t="shared" ref="G3:G35" si="0">D3*E3</f>
        <v>1200</v>
      </c>
      <c r="H3" s="3" t="str">
        <f t="shared" ref="H3:H35" si="1">IF(D3&gt;=500, "High Price", "Standard Price")</f>
        <v>Standard Price</v>
      </c>
      <c r="I3" s="8" t="str">
        <f t="shared" ref="I3:I35" si="2">LEFT(A3,2)</f>
        <v>15</v>
      </c>
      <c r="J3" s="8" t="str">
        <f t="shared" ref="J3:J35" si="3">RIGHT(A3,2)</f>
        <v>US</v>
      </c>
      <c r="K3" s="8" t="str">
        <f t="shared" ref="K3:K35" si="4">MID(A3,4,3)</f>
        <v>FEB</v>
      </c>
    </row>
    <row r="4" spans="1:11" ht="15.75" customHeight="1" x14ac:dyDescent="0.25">
      <c r="A4" s="10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>
        <f t="shared" si="0"/>
        <v>5200</v>
      </c>
      <c r="H4" s="2" t="str">
        <f t="shared" si="1"/>
        <v>Standard Price</v>
      </c>
      <c r="I4" s="7" t="str">
        <f t="shared" si="2"/>
        <v>03</v>
      </c>
      <c r="J4" s="7" t="str">
        <f t="shared" si="3"/>
        <v>US</v>
      </c>
      <c r="K4" s="7" t="str">
        <f t="shared" si="4"/>
        <v>MAR</v>
      </c>
    </row>
    <row r="5" spans="1:11" ht="15.75" customHeight="1" x14ac:dyDescent="0.25">
      <c r="A5" s="11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>
        <f t="shared" si="0"/>
        <v>22500</v>
      </c>
      <c r="H5" s="3" t="str">
        <f t="shared" si="1"/>
        <v>High Price</v>
      </c>
      <c r="I5" s="8" t="str">
        <f t="shared" si="2"/>
        <v>11</v>
      </c>
      <c r="J5" s="8" t="str">
        <f t="shared" si="3"/>
        <v>US</v>
      </c>
      <c r="K5" s="8" t="str">
        <f t="shared" si="4"/>
        <v>APR</v>
      </c>
    </row>
    <row r="6" spans="1:11" ht="15.75" customHeight="1" x14ac:dyDescent="0.25">
      <c r="A6" s="10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>
        <f t="shared" si="0"/>
        <v>1400</v>
      </c>
      <c r="H6" s="2" t="str">
        <f t="shared" si="1"/>
        <v>Standard Price</v>
      </c>
      <c r="I6" s="7" t="str">
        <f t="shared" si="2"/>
        <v>22</v>
      </c>
      <c r="J6" s="7" t="str">
        <f t="shared" si="3"/>
        <v>US</v>
      </c>
      <c r="K6" s="7" t="str">
        <f t="shared" si="4"/>
        <v>MAY</v>
      </c>
    </row>
    <row r="7" spans="1:11" ht="15.75" customHeight="1" x14ac:dyDescent="0.25">
      <c r="A7" s="11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>
        <f t="shared" si="0"/>
        <v>9000</v>
      </c>
      <c r="H7" s="3" t="str">
        <f t="shared" si="1"/>
        <v>Standard Price</v>
      </c>
      <c r="I7" s="8" t="str">
        <f t="shared" si="2"/>
        <v>07</v>
      </c>
      <c r="J7" s="8" t="str">
        <f t="shared" si="3"/>
        <v>UK</v>
      </c>
      <c r="K7" s="8" t="str">
        <f t="shared" si="4"/>
        <v>JUN</v>
      </c>
    </row>
    <row r="8" spans="1:11" ht="15.75" customHeight="1" x14ac:dyDescent="0.25">
      <c r="A8" s="10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>
        <f t="shared" si="0"/>
        <v>150</v>
      </c>
      <c r="H8" s="2" t="str">
        <f t="shared" si="1"/>
        <v>Standard Price</v>
      </c>
      <c r="I8" s="7" t="str">
        <f t="shared" si="2"/>
        <v>19</v>
      </c>
      <c r="J8" s="7" t="str">
        <f t="shared" si="3"/>
        <v>UK</v>
      </c>
      <c r="K8" s="7" t="str">
        <f t="shared" si="4"/>
        <v>JUL</v>
      </c>
    </row>
    <row r="9" spans="1:11" ht="15.75" customHeight="1" x14ac:dyDescent="0.25">
      <c r="A9" s="11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>
        <f t="shared" si="0"/>
        <v>3150</v>
      </c>
      <c r="H9" s="3" t="str">
        <f t="shared" si="1"/>
        <v>Standard Price</v>
      </c>
      <c r="I9" s="8" t="str">
        <f t="shared" si="2"/>
        <v>23</v>
      </c>
      <c r="J9" s="8" t="str">
        <f t="shared" si="3"/>
        <v>UK</v>
      </c>
      <c r="K9" s="8" t="str">
        <f t="shared" si="4"/>
        <v>AUG</v>
      </c>
    </row>
    <row r="10" spans="1:11" ht="15.75" customHeight="1" x14ac:dyDescent="0.25">
      <c r="A10" s="10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>
        <f t="shared" si="0"/>
        <v>25000</v>
      </c>
      <c r="H10" s="2" t="str">
        <f t="shared" si="1"/>
        <v>High Price</v>
      </c>
      <c r="I10" s="7" t="str">
        <f t="shared" si="2"/>
        <v>05</v>
      </c>
      <c r="J10" s="7" t="str">
        <f t="shared" si="3"/>
        <v>UK</v>
      </c>
      <c r="K10" s="7" t="str">
        <f t="shared" si="4"/>
        <v>SEP</v>
      </c>
    </row>
    <row r="11" spans="1:11" ht="15.75" customHeight="1" x14ac:dyDescent="0.25">
      <c r="A11" s="11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>
        <f t="shared" si="0"/>
        <v>1300</v>
      </c>
      <c r="H11" s="3" t="str">
        <f t="shared" si="1"/>
        <v>Standard Price</v>
      </c>
      <c r="I11" s="8" t="str">
        <f t="shared" si="2"/>
        <v>14</v>
      </c>
      <c r="J11" s="8" t="str">
        <f t="shared" si="3"/>
        <v>UK</v>
      </c>
      <c r="K11" s="8" t="str">
        <f t="shared" si="4"/>
        <v>OCT</v>
      </c>
    </row>
    <row r="12" spans="1:11" ht="15.75" customHeight="1" x14ac:dyDescent="0.25">
      <c r="A12" s="10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>
        <f t="shared" si="0"/>
        <v>23750</v>
      </c>
      <c r="H12" s="2" t="str">
        <f t="shared" si="1"/>
        <v>High Price</v>
      </c>
      <c r="I12" s="7" t="str">
        <f t="shared" si="2"/>
        <v>17</v>
      </c>
      <c r="J12" s="7" t="str">
        <f t="shared" si="3"/>
        <v>IN</v>
      </c>
      <c r="K12" s="7" t="str">
        <f t="shared" si="4"/>
        <v>JUN</v>
      </c>
    </row>
    <row r="13" spans="1:11" ht="15.75" customHeight="1" x14ac:dyDescent="0.25">
      <c r="A13" s="11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>
        <f t="shared" si="0"/>
        <v>3600</v>
      </c>
      <c r="H13" s="3" t="str">
        <f t="shared" si="1"/>
        <v>Standard Price</v>
      </c>
      <c r="I13" s="8" t="str">
        <f t="shared" si="2"/>
        <v>25</v>
      </c>
      <c r="J13" s="8" t="str">
        <f t="shared" si="3"/>
        <v>AU</v>
      </c>
      <c r="K13" s="8" t="str">
        <f t="shared" si="4"/>
        <v>NOV</v>
      </c>
    </row>
    <row r="14" spans="1:11" ht="15.75" customHeight="1" x14ac:dyDescent="0.25">
      <c r="A14" s="10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>
        <f t="shared" si="0"/>
        <v>4200</v>
      </c>
      <c r="H14" s="2" t="str">
        <f t="shared" si="1"/>
        <v>Standard Price</v>
      </c>
      <c r="I14" s="7" t="str">
        <f t="shared" si="2"/>
        <v>08</v>
      </c>
      <c r="J14" s="7" t="str">
        <f t="shared" si="3"/>
        <v>DE</v>
      </c>
      <c r="K14" s="7" t="str">
        <f t="shared" si="4"/>
        <v>DEC</v>
      </c>
    </row>
    <row r="15" spans="1:11" ht="15.75" customHeight="1" x14ac:dyDescent="0.25">
      <c r="A15" s="11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>
        <f t="shared" si="0"/>
        <v>2250</v>
      </c>
      <c r="H15" s="3" t="str">
        <f t="shared" si="1"/>
        <v>Standard Price</v>
      </c>
      <c r="I15" s="8" t="str">
        <f t="shared" si="2"/>
        <v>18</v>
      </c>
      <c r="J15" s="8" t="str">
        <f t="shared" si="3"/>
        <v>CA</v>
      </c>
      <c r="K15" s="8" t="str">
        <f t="shared" si="4"/>
        <v>FEB</v>
      </c>
    </row>
    <row r="16" spans="1:11" ht="15.75" customHeight="1" x14ac:dyDescent="0.25">
      <c r="A16" s="10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>
        <f t="shared" si="0"/>
        <v>5000</v>
      </c>
      <c r="H16" s="2" t="str">
        <f t="shared" si="1"/>
        <v>Standard Price</v>
      </c>
      <c r="I16" s="7" t="str">
        <f t="shared" si="2"/>
        <v>16</v>
      </c>
      <c r="J16" s="7" t="str">
        <f t="shared" si="3"/>
        <v>ES</v>
      </c>
      <c r="K16" s="7" t="str">
        <f t="shared" si="4"/>
        <v>APR</v>
      </c>
    </row>
    <row r="17" spans="1:11" ht="15.75" customHeight="1" x14ac:dyDescent="0.25">
      <c r="A17" s="11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>
        <f t="shared" si="0"/>
        <v>1750</v>
      </c>
      <c r="H17" s="3" t="str">
        <f t="shared" si="1"/>
        <v>Standard Price</v>
      </c>
      <c r="I17" s="8" t="str">
        <f t="shared" si="2"/>
        <v>21</v>
      </c>
      <c r="J17" s="8" t="str">
        <f t="shared" si="3"/>
        <v>CA</v>
      </c>
      <c r="K17" s="8" t="str">
        <f t="shared" si="4"/>
        <v>AUG</v>
      </c>
    </row>
    <row r="18" spans="1:11" ht="15.75" customHeight="1" x14ac:dyDescent="0.25">
      <c r="A18" s="10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>
        <f t="shared" si="0"/>
        <v>2400</v>
      </c>
      <c r="H18" s="2" t="str">
        <f t="shared" si="1"/>
        <v>Standard Price</v>
      </c>
      <c r="I18" s="7" t="str">
        <f t="shared" si="2"/>
        <v>20</v>
      </c>
      <c r="J18" s="7" t="str">
        <f t="shared" si="3"/>
        <v>CN</v>
      </c>
      <c r="K18" s="7" t="str">
        <f t="shared" si="4"/>
        <v>AUG</v>
      </c>
    </row>
    <row r="19" spans="1:11" ht="15.75" customHeight="1" x14ac:dyDescent="0.25">
      <c r="A19" s="11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>
        <f t="shared" si="0"/>
        <v>9800</v>
      </c>
      <c r="H19" s="3" t="str">
        <f t="shared" si="1"/>
        <v>High Price</v>
      </c>
      <c r="I19" s="8" t="str">
        <f t="shared" si="2"/>
        <v>27</v>
      </c>
      <c r="J19" s="8" t="str">
        <f t="shared" si="3"/>
        <v>IT</v>
      </c>
      <c r="K19" s="8" t="str">
        <f t="shared" si="4"/>
        <v>JAN</v>
      </c>
    </row>
    <row r="20" spans="1:11" ht="15.75" customHeight="1" x14ac:dyDescent="0.25">
      <c r="A20" s="10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>
        <f t="shared" si="0"/>
        <v>2250</v>
      </c>
      <c r="H20" s="2" t="str">
        <f t="shared" si="1"/>
        <v>Standard Price</v>
      </c>
      <c r="I20" s="7" t="str">
        <f t="shared" si="2"/>
        <v>01</v>
      </c>
      <c r="J20" s="7" t="str">
        <f t="shared" si="3"/>
        <v>UK</v>
      </c>
      <c r="K20" s="7" t="str">
        <f t="shared" si="4"/>
        <v>MAR</v>
      </c>
    </row>
    <row r="21" spans="1:11" ht="15.75" customHeight="1" x14ac:dyDescent="0.25">
      <c r="A21" s="11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>
        <f t="shared" si="0"/>
        <v>2000</v>
      </c>
      <c r="H21" s="3" t="str">
        <f t="shared" si="1"/>
        <v>Standard Price</v>
      </c>
      <c r="I21" s="8" t="str">
        <f t="shared" si="2"/>
        <v>14</v>
      </c>
      <c r="J21" s="8" t="str">
        <f t="shared" si="3"/>
        <v>US</v>
      </c>
      <c r="K21" s="8" t="str">
        <f t="shared" si="4"/>
        <v>AUG</v>
      </c>
    </row>
    <row r="22" spans="1:11" ht="15.75" customHeight="1" x14ac:dyDescent="0.25">
      <c r="A22" s="10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>
        <f t="shared" si="0"/>
        <v>35000</v>
      </c>
      <c r="H22" s="2" t="str">
        <f t="shared" si="1"/>
        <v>High Price</v>
      </c>
      <c r="I22" s="7" t="str">
        <f t="shared" si="2"/>
        <v>14</v>
      </c>
      <c r="J22" s="7" t="str">
        <f t="shared" si="3"/>
        <v>RU</v>
      </c>
      <c r="K22" s="7" t="str">
        <f t="shared" si="4"/>
        <v>MAY</v>
      </c>
    </row>
    <row r="23" spans="1:11" ht="15.75" customHeight="1" x14ac:dyDescent="0.25">
      <c r="A23" s="11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>
        <f t="shared" si="0"/>
        <v>1600</v>
      </c>
      <c r="H23" s="3" t="str">
        <f t="shared" si="1"/>
        <v>Standard Price</v>
      </c>
      <c r="I23" s="8" t="str">
        <f t="shared" si="2"/>
        <v>09</v>
      </c>
      <c r="J23" s="8" t="str">
        <f t="shared" si="3"/>
        <v>CA</v>
      </c>
      <c r="K23" s="8" t="str">
        <f t="shared" si="4"/>
        <v>JAN</v>
      </c>
    </row>
    <row r="24" spans="1:11" ht="15.75" customHeight="1" x14ac:dyDescent="0.25">
      <c r="A24" s="10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>
        <f t="shared" si="0"/>
        <v>4500</v>
      </c>
      <c r="H24" s="2" t="str">
        <f t="shared" si="1"/>
        <v>Standard Price</v>
      </c>
      <c r="I24" s="7" t="str">
        <f t="shared" si="2"/>
        <v>19</v>
      </c>
      <c r="J24" s="7" t="str">
        <f t="shared" si="3"/>
        <v>BR</v>
      </c>
      <c r="K24" s="7" t="str">
        <f t="shared" si="4"/>
        <v>JUL</v>
      </c>
    </row>
    <row r="25" spans="1:11" ht="15.75" customHeight="1" x14ac:dyDescent="0.25">
      <c r="A25" s="11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>
        <f t="shared" si="0"/>
        <v>1750</v>
      </c>
      <c r="H25" s="3" t="str">
        <f t="shared" si="1"/>
        <v>Standard Price</v>
      </c>
      <c r="I25" s="8" t="str">
        <f t="shared" si="2"/>
        <v>21</v>
      </c>
      <c r="J25" s="8" t="str">
        <f t="shared" si="3"/>
        <v>CA</v>
      </c>
      <c r="K25" s="8" t="str">
        <f t="shared" si="4"/>
        <v>AUG</v>
      </c>
    </row>
    <row r="26" spans="1:11" ht="15.75" customHeight="1" x14ac:dyDescent="0.25">
      <c r="A26" s="10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>
        <f t="shared" si="0"/>
        <v>36000</v>
      </c>
      <c r="H26" s="2" t="str">
        <f t="shared" si="1"/>
        <v>High Price</v>
      </c>
      <c r="I26" s="7" t="str">
        <f t="shared" si="2"/>
        <v>29</v>
      </c>
      <c r="J26" s="7" t="str">
        <f t="shared" si="3"/>
        <v>CA</v>
      </c>
      <c r="K26" s="7" t="str">
        <f t="shared" si="4"/>
        <v>SEP</v>
      </c>
    </row>
    <row r="27" spans="1:11" ht="15.75" customHeight="1" x14ac:dyDescent="0.25">
      <c r="A27" s="11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>
        <f t="shared" si="0"/>
        <v>3250</v>
      </c>
      <c r="H27" s="3" t="str">
        <f t="shared" si="1"/>
        <v>Standard Price</v>
      </c>
      <c r="I27" s="8" t="str">
        <f t="shared" si="2"/>
        <v>03</v>
      </c>
      <c r="J27" s="8" t="str">
        <f t="shared" si="3"/>
        <v>CA</v>
      </c>
      <c r="K27" s="8" t="str">
        <f t="shared" si="4"/>
        <v>JUN</v>
      </c>
    </row>
    <row r="28" spans="1:11" ht="15.75" customHeight="1" x14ac:dyDescent="0.25">
      <c r="A28" s="10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>
        <f t="shared" si="0"/>
        <v>16000</v>
      </c>
      <c r="H28" s="2" t="str">
        <f t="shared" si="1"/>
        <v>Standard Price</v>
      </c>
      <c r="I28" s="7" t="str">
        <f t="shared" si="2"/>
        <v>11</v>
      </c>
      <c r="J28" s="7" t="str">
        <f t="shared" si="3"/>
        <v>CA</v>
      </c>
      <c r="K28" s="7" t="str">
        <f t="shared" si="4"/>
        <v>JUL</v>
      </c>
    </row>
    <row r="29" spans="1:11" ht="15.75" customHeight="1" x14ac:dyDescent="0.25">
      <c r="A29" s="11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>
        <f t="shared" si="0"/>
        <v>4600</v>
      </c>
      <c r="H29" s="3" t="str">
        <f t="shared" si="1"/>
        <v>Standard Price</v>
      </c>
      <c r="I29" s="8" t="str">
        <f t="shared" si="2"/>
        <v>16</v>
      </c>
      <c r="J29" s="8" t="str">
        <f t="shared" si="3"/>
        <v>ES</v>
      </c>
      <c r="K29" s="8" t="str">
        <f t="shared" si="4"/>
        <v>APR</v>
      </c>
    </row>
    <row r="30" spans="1:11" ht="15.75" customHeight="1" x14ac:dyDescent="0.25">
      <c r="A30" s="10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>
        <f t="shared" si="0"/>
        <v>1800</v>
      </c>
      <c r="H30" s="2" t="str">
        <f t="shared" si="1"/>
        <v>Standard Price</v>
      </c>
      <c r="I30" s="7" t="str">
        <f t="shared" si="2"/>
        <v>07</v>
      </c>
      <c r="J30" s="7" t="str">
        <f t="shared" si="3"/>
        <v>CA</v>
      </c>
      <c r="K30" s="7" t="str">
        <f t="shared" si="4"/>
        <v>MAR</v>
      </c>
    </row>
    <row r="31" spans="1:11" ht="15.75" customHeight="1" x14ac:dyDescent="0.25">
      <c r="A31" s="11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>
        <f t="shared" si="0"/>
        <v>400</v>
      </c>
      <c r="H31" s="3" t="str">
        <f t="shared" si="1"/>
        <v>Standard Price</v>
      </c>
      <c r="I31" s="8" t="str">
        <f t="shared" si="2"/>
        <v>13</v>
      </c>
      <c r="J31" s="8" t="str">
        <f t="shared" si="3"/>
        <v>CA</v>
      </c>
      <c r="K31" s="8" t="str">
        <f t="shared" si="4"/>
        <v>APR</v>
      </c>
    </row>
    <row r="32" spans="1:11" ht="15.75" customHeight="1" x14ac:dyDescent="0.25">
      <c r="A32" s="10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>
        <f t="shared" si="0"/>
        <v>650</v>
      </c>
      <c r="H32" s="2" t="str">
        <f t="shared" si="1"/>
        <v>Standard Price</v>
      </c>
      <c r="I32" s="7" t="str">
        <f t="shared" si="2"/>
        <v>24</v>
      </c>
      <c r="J32" s="7" t="str">
        <f t="shared" si="3"/>
        <v>CA</v>
      </c>
      <c r="K32" s="7" t="str">
        <f t="shared" si="4"/>
        <v>MAY</v>
      </c>
    </row>
    <row r="33" spans="1:11" ht="15.75" customHeight="1" x14ac:dyDescent="0.25">
      <c r="A33" s="11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>
        <f t="shared" si="0"/>
        <v>2500</v>
      </c>
      <c r="H33" s="3" t="str">
        <f t="shared" si="1"/>
        <v>Standard Price</v>
      </c>
      <c r="I33" s="8" t="str">
        <f t="shared" si="2"/>
        <v>02</v>
      </c>
      <c r="J33" s="8" t="str">
        <f t="shared" si="3"/>
        <v>CA</v>
      </c>
      <c r="K33" s="8" t="str">
        <f t="shared" si="4"/>
        <v>DEC</v>
      </c>
    </row>
    <row r="34" spans="1:11" ht="15.75" customHeight="1" x14ac:dyDescent="0.25">
      <c r="A34" s="10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>
        <f t="shared" si="0"/>
        <v>23750</v>
      </c>
      <c r="H34" s="2" t="str">
        <f t="shared" si="1"/>
        <v>High Price</v>
      </c>
      <c r="I34" s="7" t="str">
        <f t="shared" si="2"/>
        <v>17</v>
      </c>
      <c r="J34" s="7" t="str">
        <f t="shared" si="3"/>
        <v>IN</v>
      </c>
      <c r="K34" s="7" t="str">
        <f t="shared" si="4"/>
        <v>JUN</v>
      </c>
    </row>
    <row r="35" spans="1:11" ht="15.75" customHeight="1" x14ac:dyDescent="0.25">
      <c r="A35" s="11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>
        <f t="shared" si="0"/>
        <v>2000</v>
      </c>
      <c r="H35" s="3" t="str">
        <f t="shared" si="1"/>
        <v>Standard Price</v>
      </c>
      <c r="I35" s="8" t="str">
        <f t="shared" si="2"/>
        <v>09</v>
      </c>
      <c r="J35" s="8" t="str">
        <f t="shared" si="3"/>
        <v>FR</v>
      </c>
      <c r="K35" s="8" t="str">
        <f t="shared" si="4"/>
        <v>JUL</v>
      </c>
    </row>
    <row r="36" spans="1:11" ht="15.75" customHeight="1" x14ac:dyDescent="0.25">
      <c r="A36" s="13">
        <f>COUNTA(A2:A35)</f>
        <v>34</v>
      </c>
      <c r="G36" s="2">
        <f>SUMIF(F2:F35,F2,G2:G35)</f>
        <v>234200</v>
      </c>
    </row>
    <row r="37" spans="1:11" ht="15.75" customHeight="1" x14ac:dyDescent="0.25">
      <c r="C37" t="s">
        <v>98</v>
      </c>
      <c r="D37" s="4">
        <f>AVERAGE(D2:D35)</f>
        <v>297.05882352941177</v>
      </c>
    </row>
    <row r="38" spans="1:11" ht="15.75" customHeight="1" x14ac:dyDescent="0.25">
      <c r="C38" t="s">
        <v>99</v>
      </c>
      <c r="D38" s="4">
        <f>MIN(D2:D35)</f>
        <v>30</v>
      </c>
    </row>
    <row r="39" spans="1:11" ht="15.75" customHeight="1" x14ac:dyDescent="0.25">
      <c r="C39" t="s">
        <v>100</v>
      </c>
      <c r="D39" s="4">
        <f>MAX(D2:D35)</f>
        <v>1000</v>
      </c>
    </row>
    <row r="40" spans="1:11" ht="37.5" x14ac:dyDescent="0.25">
      <c r="C40" s="14" t="s">
        <v>101</v>
      </c>
      <c r="D40" s="5">
        <f>COUNTIF(D2:D35,"&lt;100")</f>
        <v>11</v>
      </c>
    </row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Shivamagesh KL</cp:lastModifiedBy>
  <dcterms:created xsi:type="dcterms:W3CDTF">2026-10-31T05:12:39Z</dcterms:created>
  <dcterms:modified xsi:type="dcterms:W3CDTF">2026-10-31T05:12:39Z</dcterms:modified>
</cp:coreProperties>
</file>